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myintracomm-collab.ec.europa.eu/projects/H2020drafting/MGAs 2021-2027/HE CLEAN FOR PUBL/"/>
    </mc:Choice>
  </mc:AlternateContent>
  <xr:revisionPtr revIDLastSave="0" documentId="8_{F914CAC3-657C-4283-9448-F1A9B6C486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- EU Base Rates" sheetId="3" r:id="rId1"/>
    <sheet name="2 - National Top-up Rates" sheetId="1" r:id="rId2"/>
    <sheet name="3 - Funding Rate per Particpant" sheetId="4" r:id="rId3"/>
    <sheet name="4 - Max Amount per RP" sheetId="5" r:id="rId4"/>
    <sheet name="4 - Country List" sheetId="2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5" l="1"/>
  <c r="C4" i="5"/>
  <c r="C5" i="5"/>
  <c r="C6" i="5"/>
  <c r="C7" i="5"/>
  <c r="C8" i="5"/>
  <c r="C9" i="5"/>
  <c r="C3" i="5"/>
  <c r="E10" i="5"/>
  <c r="F10" i="5"/>
  <c r="G10" i="5"/>
  <c r="D10" i="5"/>
  <c r="E3" i="4" l="1"/>
  <c r="J10" i="4"/>
  <c r="E5" i="4"/>
  <c r="E6" i="4"/>
  <c r="E7" i="4"/>
  <c r="E8" i="4"/>
  <c r="E9" i="4"/>
  <c r="H10" i="4"/>
  <c r="F4" i="4"/>
  <c r="M4" i="4" s="1"/>
  <c r="F5" i="4"/>
  <c r="F6" i="4"/>
  <c r="M6" i="4" s="1"/>
  <c r="F7" i="4"/>
  <c r="M7" i="4" s="1"/>
  <c r="F8" i="4"/>
  <c r="M8" i="4" s="1"/>
  <c r="F9" i="4"/>
  <c r="M9" i="4" s="1"/>
  <c r="F3" i="4"/>
  <c r="G9" i="4" l="1"/>
  <c r="I9" i="4" s="1"/>
  <c r="L9" i="4"/>
  <c r="G8" i="4"/>
  <c r="I8" i="4" s="1"/>
  <c r="L8" i="4"/>
  <c r="G7" i="4"/>
  <c r="I7" i="4" s="1"/>
  <c r="L7" i="4"/>
  <c r="L6" i="4"/>
  <c r="G6" i="4"/>
  <c r="I6" i="4" s="1"/>
  <c r="L5" i="4"/>
  <c r="G5" i="4"/>
  <c r="I5" i="4" s="1"/>
  <c r="M5" i="4"/>
  <c r="G3" i="4"/>
  <c r="I3" i="4" s="1"/>
  <c r="C10" i="5"/>
  <c r="M3" i="4" l="1"/>
  <c r="M10" i="4" s="1"/>
  <c r="E4" i="4"/>
  <c r="L4" i="4" l="1"/>
  <c r="G4" i="4"/>
  <c r="I4" i="4" s="1"/>
  <c r="L3" i="4"/>
  <c r="L10" i="4" l="1"/>
  <c r="I10" i="4"/>
</calcChain>
</file>

<file path=xl/sharedStrings.xml><?xml version="1.0" encoding="utf-8"?>
<sst xmlns="http://schemas.openxmlformats.org/spreadsheetml/2006/main" count="195" uniqueCount="129">
  <si>
    <t>Profit</t>
  </si>
  <si>
    <t>Non-profit</t>
  </si>
  <si>
    <t>SME</t>
  </si>
  <si>
    <t>Country code</t>
  </si>
  <si>
    <t>Country name</t>
  </si>
  <si>
    <t>Country</t>
  </si>
  <si>
    <t>AT</t>
  </si>
  <si>
    <t>Austria</t>
  </si>
  <si>
    <t>BE</t>
  </si>
  <si>
    <t>Belgium</t>
  </si>
  <si>
    <t>BG</t>
  </si>
  <si>
    <t>Bulgaria</t>
  </si>
  <si>
    <t>CY</t>
  </si>
  <si>
    <t>Cyprus</t>
  </si>
  <si>
    <t>CZ</t>
  </si>
  <si>
    <t>Czechia</t>
  </si>
  <si>
    <t>DE</t>
  </si>
  <si>
    <t>Germany</t>
  </si>
  <si>
    <t>DK</t>
  </si>
  <si>
    <t>Denmark</t>
  </si>
  <si>
    <t>EE</t>
  </si>
  <si>
    <t>Estonia</t>
  </si>
  <si>
    <t>ES</t>
  </si>
  <si>
    <t>Spain</t>
  </si>
  <si>
    <t>FI</t>
  </si>
  <si>
    <t>Finland</t>
  </si>
  <si>
    <t>FR</t>
  </si>
  <si>
    <t>France</t>
  </si>
  <si>
    <t>EL</t>
  </si>
  <si>
    <t>Greece</t>
  </si>
  <si>
    <t>HR</t>
  </si>
  <si>
    <t>Croatia</t>
  </si>
  <si>
    <t>HU</t>
  </si>
  <si>
    <t>Hungary</t>
  </si>
  <si>
    <t>IE</t>
  </si>
  <si>
    <t>Ireland</t>
  </si>
  <si>
    <t>IT</t>
  </si>
  <si>
    <t>Italy</t>
  </si>
  <si>
    <t>LT</t>
  </si>
  <si>
    <t>Lithuania</t>
  </si>
  <si>
    <t>LU</t>
  </si>
  <si>
    <t>Luxembourg</t>
  </si>
  <si>
    <t>LV</t>
  </si>
  <si>
    <t>Latvia</t>
  </si>
  <si>
    <t>MT</t>
  </si>
  <si>
    <t>Malta</t>
  </si>
  <si>
    <t>NL</t>
  </si>
  <si>
    <t>Netherlands</t>
  </si>
  <si>
    <t>PL</t>
  </si>
  <si>
    <t>Poland</t>
  </si>
  <si>
    <t>PT</t>
  </si>
  <si>
    <t>Portugal</t>
  </si>
  <si>
    <t>RO</t>
  </si>
  <si>
    <t>Romania</t>
  </si>
  <si>
    <t>SE</t>
  </si>
  <si>
    <t>Sweden</t>
  </si>
  <si>
    <t>SI</t>
  </si>
  <si>
    <t>Slovenia</t>
  </si>
  <si>
    <t>SK</t>
  </si>
  <si>
    <t>Slovakia</t>
  </si>
  <si>
    <t>Status</t>
  </si>
  <si>
    <t>EU Member State</t>
  </si>
  <si>
    <t>Short name</t>
  </si>
  <si>
    <t>1.1</t>
  </si>
  <si>
    <t>EU funding</t>
  </si>
  <si>
    <t>National contribution top-up</t>
  </si>
  <si>
    <t>National 
top-up rate</t>
  </si>
  <si>
    <t>[other]</t>
  </si>
  <si>
    <t>[…%]</t>
  </si>
  <si>
    <t>Consortium total</t>
  </si>
  <si>
    <t>Total costs</t>
  </si>
  <si>
    <t>Total funding rate</t>
  </si>
  <si>
    <t>EU base rate</t>
  </si>
  <si>
    <t>Requested EU contribution</t>
  </si>
  <si>
    <t>Individual funding rates per participant</t>
  </si>
  <si>
    <t>RP1</t>
  </si>
  <si>
    <t>RP2</t>
  </si>
  <si>
    <t>RP3</t>
  </si>
  <si>
    <t>…</t>
  </si>
  <si>
    <t>Grant breakdown</t>
  </si>
  <si>
    <t xml:space="preserve"> </t>
  </si>
  <si>
    <t>Other</t>
  </si>
  <si>
    <t>AE1</t>
  </si>
  <si>
    <t>Maximum EU contribution</t>
  </si>
  <si>
    <t>Participant type</t>
  </si>
  <si>
    <t>EU base rates (%)</t>
  </si>
  <si>
    <t>National top-up rate</t>
  </si>
  <si>
    <t>No</t>
  </si>
  <si>
    <t>Final RP</t>
  </si>
  <si>
    <t>BEN1</t>
  </si>
  <si>
    <t>BEN2</t>
  </si>
  <si>
    <r>
      <t xml:space="preserve">Maximum amounts per participant and reporting period
</t>
    </r>
    <r>
      <rPr>
        <i/>
        <sz val="10"/>
        <color theme="0" tint="-0.499984740745262"/>
        <rFont val="Calibri"/>
        <family val="2"/>
        <scheme val="minor"/>
      </rPr>
      <t>(these amounts will determine how much you can ask for each RP; distribute the requested grant amount in line with your planned budget consumption)</t>
    </r>
  </si>
  <si>
    <t>HE Associated Country</t>
  </si>
  <si>
    <t>AL</t>
  </si>
  <si>
    <t>Albania</t>
  </si>
  <si>
    <t>AM</t>
  </si>
  <si>
    <t>Armenia</t>
  </si>
  <si>
    <t>BA</t>
  </si>
  <si>
    <t>Bosnia and Herzegovina</t>
  </si>
  <si>
    <t>FO</t>
  </si>
  <si>
    <t>Faroe Islands</t>
  </si>
  <si>
    <t>GE</t>
  </si>
  <si>
    <t>IS</t>
  </si>
  <si>
    <t>Iceland</t>
  </si>
  <si>
    <t>IL</t>
  </si>
  <si>
    <t>Israel</t>
  </si>
  <si>
    <t>XK</t>
  </si>
  <si>
    <t>Kosovo*</t>
  </si>
  <si>
    <t>MD</t>
  </si>
  <si>
    <t>Moldova</t>
  </si>
  <si>
    <t>ME</t>
  </si>
  <si>
    <t>Montenegro</t>
  </si>
  <si>
    <t>MK</t>
  </si>
  <si>
    <t>North Macedonia</t>
  </si>
  <si>
    <t>NZ</t>
  </si>
  <si>
    <t>NO</t>
  </si>
  <si>
    <t>Norway</t>
  </si>
  <si>
    <t>New Zealand</t>
  </si>
  <si>
    <t>RS</t>
  </si>
  <si>
    <t>Serbia</t>
  </si>
  <si>
    <t>UK</t>
  </si>
  <si>
    <t>United Kingdom</t>
  </si>
  <si>
    <t>TN</t>
  </si>
  <si>
    <t>Tunisia</t>
  </si>
  <si>
    <t>TR</t>
  </si>
  <si>
    <t>Türkiye</t>
  </si>
  <si>
    <t>UA</t>
  </si>
  <si>
    <t>Ukraine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</si>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</sst>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9" fontId="0" fillId="0" borderId="0" xfId="0" applyNumberFormat="1"/>
    <xf numFmtId="0" fontId="0" fillId="3" borderId="0" xfId="0" applyFill="1" applyAlignment="1">
      <alignment vertical="center"/>
    </xf>
    <xf numFmtId="0" fontId="0" fillId="0" borderId="0" xfId="0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2" fillId="4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5" borderId="0" xfId="0" applyFill="1"/>
    <xf numFmtId="0" fontId="1" fillId="2" borderId="8" xfId="0" applyFont="1" applyFill="1" applyBorder="1" applyAlignment="1">
      <alignment vertical="center"/>
    </xf>
    <xf numFmtId="0" fontId="1" fillId="2" borderId="8" xfId="0" applyFont="1" applyFill="1" applyBorder="1"/>
    <xf numFmtId="0" fontId="0" fillId="0" borderId="5" xfId="0" applyBorder="1"/>
    <xf numFmtId="0" fontId="3" fillId="6" borderId="0" xfId="0" applyFont="1" applyFill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9" fontId="4" fillId="0" borderId="1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9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right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/>
    </xf>
    <xf numFmtId="164" fontId="0" fillId="0" borderId="1" xfId="0" applyNumberFormat="1" applyBorder="1"/>
    <xf numFmtId="164" fontId="0" fillId="2" borderId="1" xfId="0" applyNumberFormat="1" applyFill="1" applyBorder="1"/>
    <xf numFmtId="164" fontId="0" fillId="2" borderId="1" xfId="0" applyNumberForma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 applyProtection="1">
      <alignment horizontal="right" vertical="center"/>
      <protection locked="0"/>
    </xf>
    <xf numFmtId="164" fontId="0" fillId="2" borderId="1" xfId="0" applyNumberForma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3" fillId="4" borderId="1" xfId="0" applyNumberFormat="1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4">
    <dxf>
      <fill>
        <patternFill patternType="solid">
          <fgColor indexed="64"/>
          <bgColor theme="2" tint="-0.499984740745262"/>
        </patternFill>
      </fill>
      <alignment horizontal="general" vertical="center" textRotation="0" wrapText="0" indent="0" justifyLastLine="0" shrinkToFit="0" readingOrder="0"/>
    </dxf>
    <dxf>
      <numFmt numFmtId="164" formatCode="#,##0.00\ _€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  <vertical/>
        <horizontal/>
      </border>
    </dxf>
    <dxf>
      <numFmt numFmtId="164" formatCode="#,##0.00\ _€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shrinkToFit="0" readingOrder="0"/>
      <border diagonalUp="0" diagonalDown="0"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</border>
    </dxf>
    <dxf>
      <numFmt numFmtId="164" formatCode="#,##0.00\ _€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</border>
    </dxf>
    <dxf>
      <numFmt numFmtId="164" formatCode="#,##0.00\ _€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</border>
    </dxf>
    <dxf>
      <numFmt numFmtId="164" formatCode="#,##0.00\ _€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shrinkToFit="0" readingOrder="0"/>
      <border diagonalUp="0" diagonalDown="0"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</border>
    </dxf>
    <dxf>
      <numFmt numFmtId="164" formatCode="#,##0.00\ _€"/>
      <alignment vertical="center" textRotation="0" wrapText="0" indent="0" justifyLastLine="0" shrinkToFit="0" readingOrder="0"/>
      <border diagonalUp="0" diagonalDown="0"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</border>
    </dxf>
    <dxf>
      <alignment vertical="center" textRotation="0" wrapText="0" indent="0" justifyLastLine="0" shrinkToFit="0" readingOrder="0"/>
      <border diagonalUp="0" diagonalDown="0" outline="0"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</border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vertical="top" textRotation="0" indent="0" justifyLastLine="0" shrinkToFit="0" readingOrder="0"/>
      <border diagonalUp="0" diagonalDown="0">
        <left style="medium">
          <color theme="0" tint="-0.34998626667073579"/>
        </left>
        <right style="medium">
          <color theme="0" tint="-0.34998626667073579"/>
        </right>
        <top/>
        <bottom/>
        <vertical style="medium">
          <color theme="0" tint="-0.34998626667073579"/>
        </vertical>
        <horizontal style="medium">
          <color theme="0" tint="-0.34998626667073579"/>
        </horizontal>
      </border>
    </dxf>
    <dxf>
      <numFmt numFmtId="164" formatCode="#,##0.00\ _€"/>
      <border diagonalUp="0" diagonalDown="0">
        <left style="medium">
          <color theme="0" tint="-0.34998626667073579"/>
        </left>
        <right/>
        <top style="medium">
          <color theme="0" tint="-0.34998626667073579"/>
        </top>
        <bottom style="medium">
          <color theme="0" tint="-0.34998626667073579"/>
        </bottom>
        <vertical style="medium">
          <color theme="0" tint="-0.34998626667073579"/>
        </vertical>
        <horizontal style="medium">
          <color theme="0" tint="-0.34998626667073579"/>
        </horizontal>
      </border>
    </dxf>
    <dxf>
      <numFmt numFmtId="164" formatCode="#,##0.00\ _€"/>
      <border diagonalUp="0" diagonalDown="0"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</border>
    </dxf>
    <dxf>
      <numFmt numFmtId="164" formatCode="#,##0.00\ _€"/>
      <border diagonalUp="0" diagonalDown="0"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</border>
    </dxf>
    <dxf>
      <numFmt numFmtId="165" formatCode="#,##0.00\ &quot;€&quot;"/>
      <border diagonalUp="0" diagonalDown="0"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  <vertical style="medium">
          <color theme="0" tint="-0.34998626667073579"/>
        </vertical>
        <horizontal style="medium">
          <color theme="0" tint="-0.34998626667073579"/>
        </horizontal>
      </border>
    </dxf>
    <dxf>
      <border diagonalUp="0" diagonalDown="0"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  <vertical style="medium">
          <color theme="0" tint="-0.34998626667073579"/>
        </vertical>
        <horizontal style="medium">
          <color theme="0" tint="-0.34998626667073579"/>
        </horizontal>
      </border>
    </dxf>
    <dxf>
      <numFmt numFmtId="13" formatCode="0%"/>
      <alignment horizontal="right" vertical="bottom" textRotation="0" wrapText="0" indent="0" justifyLastLine="0" shrinkToFit="0" readingOrder="0"/>
      <border diagonalUp="0" diagonalDown="0"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  <vertical style="medium">
          <color theme="0" tint="-0.34998626667073579"/>
        </vertical>
        <horizontal style="medium">
          <color theme="0" tint="-0.34998626667073579"/>
        </horizontal>
      </border>
    </dxf>
    <dxf>
      <numFmt numFmtId="13" formatCode="0%"/>
      <alignment horizontal="right" vertical="bottom" textRotation="0" wrapText="0" indent="0" justifyLastLine="0" shrinkToFit="0" readingOrder="0"/>
      <border diagonalUp="0" diagonalDown="0"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  <vertical style="medium">
          <color theme="0" tint="-0.34998626667073579"/>
        </vertical>
        <horizontal style="medium">
          <color theme="0" tint="-0.34998626667073579"/>
        </horizontal>
      </border>
    </dxf>
    <dxf>
      <numFmt numFmtId="0" formatCode="General"/>
      <alignment horizontal="center" textRotation="0" indent="0" justifyLastLine="0" shrinkToFit="0" readingOrder="0"/>
      <border diagonalUp="0" diagonalDown="0" outline="0"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</border>
    </dxf>
    <dxf>
      <border diagonalUp="0" diagonalDown="0"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  <vertical style="medium">
          <color theme="0" tint="-0.34998626667073579"/>
        </vertical>
        <horizontal style="medium">
          <color theme="0" tint="-0.34998626667073579"/>
        </horizontal>
      </border>
    </dxf>
    <dxf>
      <border diagonalUp="0" diagonalDown="0"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  <vertical style="medium">
          <color theme="0" tint="-0.34998626667073579"/>
        </vertical>
        <horizontal style="medium">
          <color theme="0" tint="-0.34998626667073579"/>
        </horizontal>
      </border>
    </dxf>
    <dxf>
      <border diagonalUp="0" diagonalDown="0"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  <vertical style="medium">
          <color theme="0" tint="-0.34998626667073579"/>
        </vertical>
        <horizontal style="medium">
          <color theme="0" tint="-0.34998626667073579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  <vertical style="medium">
          <color theme="0" tint="-0.34998626667073579"/>
        </vertical>
        <horizontal style="medium">
          <color theme="0" tint="-0.34998626667073579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vertical="top" textRotation="0" indent="0" justifyLastLine="0" shrinkToFit="0" readingOrder="0"/>
      <border diagonalUp="0" diagonalDown="0">
        <left style="medium">
          <color theme="0" tint="-0.34998626667073579"/>
        </left>
        <right style="medium">
          <color theme="0" tint="-0.34998626667073579"/>
        </right>
        <top/>
        <bottom/>
        <vertical style="medium">
          <color theme="0" tint="-0.34998626667073579"/>
        </vertical>
        <horizontal style="medium">
          <color theme="0" tint="-0.34998626667073579"/>
        </horizontal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 outline="0">
        <left style="medium">
          <color theme="0" tint="-0.24994659260841701"/>
        </left>
        <right style="medium">
          <color theme="0" tint="-0.24994659260841701"/>
        </right>
        <top style="medium">
          <color theme="0" tint="-0.24994659260841701"/>
        </top>
        <bottom style="medium">
          <color theme="0" tint="-0.24994659260841701"/>
        </bottom>
      </border>
    </dxf>
    <dxf>
      <border diagonalUp="0" diagonalDown="0">
        <left style="medium">
          <color theme="0" tint="-0.24994659260841701"/>
        </left>
        <right style="medium">
          <color theme="0" tint="-0.24994659260841701"/>
        </right>
        <top style="medium">
          <color theme="0" tint="-0.24994659260841701"/>
        </top>
        <bottom style="medium">
          <color theme="0" tint="-0.24994659260841701"/>
        </bottom>
        <vertical style="medium">
          <color theme="0" tint="-0.24994659260841701"/>
        </vertical>
        <horizontal style="medium">
          <color theme="0" tint="-0.24994659260841701"/>
        </horizontal>
      </border>
    </dxf>
    <dxf>
      <border diagonalUp="0" diagonalDown="0">
        <left style="medium">
          <color theme="0" tint="-0.24994659260841701"/>
        </left>
        <right style="medium">
          <color theme="0" tint="-0.24994659260841701"/>
        </right>
        <top style="medium">
          <color theme="0" tint="-0.24994659260841701"/>
        </top>
        <bottom style="medium">
          <color theme="0" tint="-0.24994659260841701"/>
        </bottom>
        <vertical style="medium">
          <color theme="0" tint="-0.24994659260841701"/>
        </vertical>
        <horizontal style="medium">
          <color theme="0" tint="-0.24994659260841701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  <border diagonalUp="0" diagonalDown="0" outline="0">
        <left style="medium">
          <color theme="0" tint="-0.24994659260841701"/>
        </left>
        <right/>
        <top style="medium">
          <color theme="0" tint="-0.24994659260841701"/>
        </top>
        <bottom style="medium">
          <color theme="0" tint="-0.24994659260841701"/>
        </bottom>
      </border>
    </dxf>
    <dxf>
      <font>
        <b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 style="medium">
          <color theme="0" tint="-0.24994659260841701"/>
        </right>
        <top style="medium">
          <color theme="0" tint="-0.24994659260841701"/>
        </top>
        <bottom style="medium">
          <color theme="0" tint="-0.24994659260841701"/>
        </bottom>
      </border>
    </dxf>
    <dxf>
      <border>
        <top style="medium">
          <color theme="0" tint="-0.24994659260841701"/>
        </top>
      </border>
    </dxf>
    <dxf>
      <border diagonalUp="0" diagonalDown="0">
        <left style="medium">
          <color theme="0" tint="-0.24994659260841701"/>
        </left>
        <right style="medium">
          <color theme="0" tint="-0.24994659260841701"/>
        </right>
        <top style="medium">
          <color theme="0" tint="-0.24994659260841701"/>
        </top>
        <bottom style="medium">
          <color theme="0" tint="-0.24994659260841701"/>
        </bottom>
      </border>
    </dxf>
    <dxf>
      <border>
        <bottom style="medium">
          <color theme="0" tint="-0.2499465926084170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 tint="-0.24994659260841701"/>
        </left>
        <right style="medium">
          <color theme="0" tint="-0.2499465926084170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6" totalsRowShown="0" headerRowDxfId="33" headerRowBorderDxfId="32" tableBorderDxfId="31" totalsRowBorderDxfId="30">
  <tableColumns count="2">
    <tableColumn id="1" xr3:uid="{00000000-0010-0000-0000-000001000000}" name="Participant type" dataDxfId="29"/>
    <tableColumn id="2" xr3:uid="{00000000-0010-0000-0000-000002000000}" name="EU base rates (%)" dataDxfId="28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C10" totalsRowShown="0" headerRowDxfId="27">
  <autoFilter ref="A1:C10" xr:uid="{00000000-0009-0000-0100-000003000000}"/>
  <tableColumns count="3">
    <tableColumn id="1" xr3:uid="{00000000-0010-0000-0100-000001000000}" name="Country" dataDxfId="26"/>
    <tableColumn id="2" xr3:uid="{00000000-0010-0000-0100-000002000000}" name="Participant type" dataDxfId="25"/>
    <tableColumn id="3" xr3:uid="{00000000-0010-0000-0100-000003000000}" name="National top-up rate" dataDxfId="24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2:M10" totalsRowShown="0" headerRowDxfId="23">
  <tableColumns count="13">
    <tableColumn id="1" xr3:uid="{00000000-0010-0000-0200-000001000000}" name="No" dataDxfId="22"/>
    <tableColumn id="2" xr3:uid="{00000000-0010-0000-0200-000002000000}" name="Short name" dataDxfId="21"/>
    <tableColumn id="7" xr3:uid="{00000000-0010-0000-0200-000007000000}" name="Country" dataDxfId="20"/>
    <tableColumn id="8" xr3:uid="{00000000-0010-0000-0200-000008000000}" name="Participant type" dataDxfId="19"/>
    <tableColumn id="5" xr3:uid="{00000000-0010-0000-0200-000005000000}" name="EU base rate" dataDxfId="18"/>
    <tableColumn id="9" xr3:uid="{00000000-0010-0000-0200-000009000000}" name="National _x000a_top-up rate" dataDxfId="17"/>
    <tableColumn id="12" xr3:uid="{00000000-0010-0000-0200-00000C000000}" name="Total funding rate" dataDxfId="16">
      <calculatedColumnFormula>Table4[[#This Row],[EU base rate]]+IF(Table4[[#This Row],[National 
top-up rate]]&lt;&gt;"N/A",Table4[[#This Row],[National 
top-up rate]],0)</calculatedColumnFormula>
    </tableColumn>
    <tableColumn id="4" xr3:uid="{00000000-0010-0000-0200-000004000000}" name="Total costs" dataDxfId="15"/>
    <tableColumn id="6" xr3:uid="{00000000-0010-0000-0200-000006000000}" name="Maximum EU contribution" dataDxfId="14"/>
    <tableColumn id="13" xr3:uid="{00000000-0010-0000-0200-00000D000000}" name="Requested EU contribution" dataDxfId="13">
      <calculatedColumnFormula>SUM(G3:I3)</calculatedColumnFormula>
    </tableColumn>
    <tableColumn id="15" xr3:uid="{00000000-0010-0000-0200-00000F000000}" name=" " dataCellStyle="Normal"/>
    <tableColumn id="11" xr3:uid="{00000000-0010-0000-0200-00000B000000}" name="EU funding" dataDxfId="12"/>
    <tableColumn id="10" xr3:uid="{00000000-0010-0000-0200-00000A000000}" name="National contribution top-up" dataDxfId="11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46" displayName="Table46" ref="A2:H10" totalsRowShown="0" headerRowDxfId="10" dataDxfId="9">
  <tableColumns count="8">
    <tableColumn id="1" xr3:uid="{00000000-0010-0000-0300-000001000000}" name="No" dataDxfId="8"/>
    <tableColumn id="2" xr3:uid="{00000000-0010-0000-0300-000002000000}" name="Short name" dataDxfId="7"/>
    <tableColumn id="15" xr3:uid="{00000000-0010-0000-0300-00000F000000}" name="Requested EU contribution" dataDxfId="6">
      <calculatedColumnFormula>_xlfn.IFNA(VLOOKUP(Table46[[#This Row],[Short name]],Table4[],10,TRUE),"N/A")</calculatedColumnFormula>
    </tableColumn>
    <tableColumn id="5" xr3:uid="{00000000-0010-0000-0300-000005000000}" name="RP1" dataDxfId="5">
      <calculatedColumnFormula>SUM(Table46[RP1])</calculatedColumnFormula>
    </tableColumn>
    <tableColumn id="9" xr3:uid="{00000000-0010-0000-0300-000009000000}" name="RP2" dataDxfId="4">
      <calculatedColumnFormula>SUM(D3)</calculatedColumnFormula>
    </tableColumn>
    <tableColumn id="12" xr3:uid="{00000000-0010-0000-0300-00000C000000}" name="RP3" dataDxfId="3">
      <calculatedColumnFormula>SUM(E3)</calculatedColumnFormula>
    </tableColumn>
    <tableColumn id="13" xr3:uid="{00000000-0010-0000-0300-00000D000000}" name="…" dataDxfId="2">
      <calculatedColumnFormula>SUM(F3)</calculatedColumnFormula>
    </tableColumn>
    <tableColumn id="11" xr3:uid="{00000000-0010-0000-0300-00000B000000}" name="Final RP" dataDxfId="1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able2" displayName="Table2" ref="A1:C46" totalsRowShown="0" headerRowDxfId="0">
  <autoFilter ref="A1:C46" xr:uid="{00000000-0009-0000-0100-000002000000}"/>
  <tableColumns count="3">
    <tableColumn id="1" xr3:uid="{00000000-0010-0000-0400-000001000000}" name="Country code"/>
    <tableColumn id="2" xr3:uid="{00000000-0010-0000-0400-000002000000}" name="Country name"/>
    <tableColumn id="3" xr3:uid="{00000000-0010-0000-0400-000003000000}" name="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="101" zoomScaleNormal="101" workbookViewId="0">
      <selection activeCell="B1" sqref="B1"/>
    </sheetView>
  </sheetViews>
  <sheetFormatPr defaultRowHeight="15" x14ac:dyDescent="0.25"/>
  <cols>
    <col min="1" max="1" width="20.140625" bestFit="1" customWidth="1"/>
    <col min="2" max="2" width="19.140625" customWidth="1"/>
  </cols>
  <sheetData>
    <row r="1" spans="1:2" ht="33" customHeight="1" thickBot="1" x14ac:dyDescent="0.3">
      <c r="A1" s="24" t="s">
        <v>84</v>
      </c>
      <c r="B1" s="25" t="s">
        <v>85</v>
      </c>
    </row>
    <row r="2" spans="1:2" ht="24.6" customHeight="1" thickBot="1" x14ac:dyDescent="0.3">
      <c r="A2" s="11" t="s">
        <v>81</v>
      </c>
      <c r="B2" s="18">
        <v>0.25</v>
      </c>
    </row>
    <row r="3" spans="1:2" ht="23.45" customHeight="1" thickBot="1" x14ac:dyDescent="0.3">
      <c r="A3" s="12" t="s">
        <v>0</v>
      </c>
      <c r="B3" s="18">
        <v>0.35</v>
      </c>
    </row>
    <row r="4" spans="1:2" ht="24" customHeight="1" thickBot="1" x14ac:dyDescent="0.3">
      <c r="A4" s="12" t="s">
        <v>1</v>
      </c>
      <c r="B4" s="18">
        <v>0.5</v>
      </c>
    </row>
    <row r="5" spans="1:2" ht="24.6" customHeight="1" thickBot="1" x14ac:dyDescent="0.3">
      <c r="A5" s="12" t="s">
        <v>2</v>
      </c>
      <c r="B5" s="18">
        <v>0.5</v>
      </c>
    </row>
    <row r="6" spans="1:2" ht="24" customHeight="1" x14ac:dyDescent="0.25">
      <c r="A6" s="29" t="s">
        <v>67</v>
      </c>
      <c r="B6" s="19" t="s">
        <v>68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C2" sqref="C2"/>
    </sheetView>
  </sheetViews>
  <sheetFormatPr defaultRowHeight="15" x14ac:dyDescent="0.25"/>
  <cols>
    <col min="1" max="1" width="12.140625" bestFit="1" customWidth="1"/>
    <col min="2" max="2" width="18.7109375" bestFit="1" customWidth="1"/>
    <col min="3" max="3" width="22.7109375" style="1" bestFit="1" customWidth="1"/>
  </cols>
  <sheetData>
    <row r="1" spans="1:3" ht="32.450000000000003" customHeight="1" thickBot="1" x14ac:dyDescent="0.3">
      <c r="A1" s="16" t="s">
        <v>5</v>
      </c>
      <c r="B1" s="14" t="s">
        <v>84</v>
      </c>
      <c r="C1" s="16" t="s">
        <v>86</v>
      </c>
    </row>
    <row r="2" spans="1:3" ht="21.6" customHeight="1" thickBot="1" x14ac:dyDescent="0.3">
      <c r="A2" s="13" t="s">
        <v>45</v>
      </c>
      <c r="B2" s="15" t="s">
        <v>0</v>
      </c>
      <c r="C2" s="17">
        <v>0.35</v>
      </c>
    </row>
    <row r="3" spans="1:3" ht="23.45" customHeight="1" thickBot="1" x14ac:dyDescent="0.3">
      <c r="A3" s="13" t="s">
        <v>55</v>
      </c>
      <c r="B3" s="15" t="s">
        <v>2</v>
      </c>
      <c r="C3" s="17">
        <v>0.55000000000000004</v>
      </c>
    </row>
    <row r="4" spans="1:3" ht="25.15" customHeight="1" thickBot="1" x14ac:dyDescent="0.3">
      <c r="A4" s="13" t="s">
        <v>45</v>
      </c>
      <c r="B4" s="15" t="s">
        <v>1</v>
      </c>
      <c r="C4" s="17">
        <v>0.5</v>
      </c>
    </row>
    <row r="5" spans="1:3" ht="25.15" customHeight="1" thickBot="1" x14ac:dyDescent="0.3">
      <c r="A5" s="13"/>
      <c r="B5" s="15"/>
      <c r="C5" s="17"/>
    </row>
    <row r="6" spans="1:3" ht="21" customHeight="1" thickBot="1" x14ac:dyDescent="0.3">
      <c r="A6" s="13"/>
      <c r="B6" s="13"/>
      <c r="C6" s="17"/>
    </row>
    <row r="7" spans="1:3" ht="21" customHeight="1" thickBot="1" x14ac:dyDescent="0.3">
      <c r="A7" s="13"/>
      <c r="B7" s="13"/>
      <c r="C7" s="17"/>
    </row>
    <row r="8" spans="1:3" ht="20.45" customHeight="1" thickBot="1" x14ac:dyDescent="0.3">
      <c r="A8" s="13"/>
      <c r="B8" s="13"/>
      <c r="C8" s="17"/>
    </row>
    <row r="9" spans="1:3" ht="23.45" customHeight="1" thickBot="1" x14ac:dyDescent="0.3">
      <c r="A9" s="13"/>
      <c r="B9" s="13"/>
      <c r="C9" s="17"/>
    </row>
    <row r="10" spans="1:3" ht="21" customHeight="1" thickBot="1" x14ac:dyDescent="0.3">
      <c r="A10" s="13"/>
      <c r="B10" s="13"/>
      <c r="C10" s="17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'4 - Country List'!$B$2:$B$46</xm:f>
          </x14:formula1>
          <xm:sqref>A2:A10</xm:sqref>
        </x14:dataValidation>
        <x14:dataValidation type="list" allowBlank="1" showInputMessage="1" showErrorMessage="1" xr:uid="{00000000-0002-0000-0100-000001000000}">
          <x14:formula1>
            <xm:f>'1- EU Base Rates'!$A$2:$A$5</xm:f>
          </x14:formula1>
          <xm:sqref>B2:B10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zoomScale="115" zoomScaleNormal="115" workbookViewId="0">
      <selection activeCell="M20" sqref="M20"/>
    </sheetView>
  </sheetViews>
  <sheetFormatPr defaultRowHeight="15" x14ac:dyDescent="0.25"/>
  <cols>
    <col min="1" max="1" width="16.28515625" customWidth="1"/>
    <col min="2" max="2" width="18.7109375" customWidth="1"/>
    <col min="3" max="3" width="15" customWidth="1"/>
    <col min="4" max="4" width="14.85546875" customWidth="1"/>
    <col min="5" max="5" width="13.28515625" style="22" bestFit="1" customWidth="1"/>
    <col min="6" max="7" width="13.28515625" style="3" customWidth="1"/>
    <col min="8" max="8" width="15.28515625" bestFit="1" customWidth="1"/>
    <col min="9" max="11" width="16.28515625" customWidth="1"/>
    <col min="12" max="12" width="14.28515625" customWidth="1"/>
    <col min="13" max="13" width="19.5703125" customWidth="1"/>
  </cols>
  <sheetData>
    <row r="1" spans="1:13" ht="32.450000000000003" customHeight="1" thickBot="1" x14ac:dyDescent="0.3">
      <c r="A1" s="39" t="s">
        <v>74</v>
      </c>
      <c r="B1" s="40"/>
      <c r="C1" s="40"/>
      <c r="D1" s="40"/>
      <c r="E1" s="40"/>
      <c r="F1" s="40"/>
      <c r="G1" s="40"/>
      <c r="H1" s="40"/>
      <c r="I1" s="40"/>
      <c r="J1" s="41"/>
      <c r="L1" s="39" t="s">
        <v>79</v>
      </c>
      <c r="M1" s="41"/>
    </row>
    <row r="2" spans="1:13" ht="39" customHeight="1" thickBot="1" x14ac:dyDescent="0.3">
      <c r="A2" s="4" t="s">
        <v>87</v>
      </c>
      <c r="B2" s="5" t="s">
        <v>62</v>
      </c>
      <c r="C2" s="4" t="s">
        <v>5</v>
      </c>
      <c r="D2" s="5" t="s">
        <v>84</v>
      </c>
      <c r="E2" s="4" t="s">
        <v>72</v>
      </c>
      <c r="F2" s="5" t="s">
        <v>66</v>
      </c>
      <c r="G2" s="5" t="s">
        <v>71</v>
      </c>
      <c r="H2" s="4" t="s">
        <v>70</v>
      </c>
      <c r="I2" s="5" t="s">
        <v>83</v>
      </c>
      <c r="J2" s="5" t="s">
        <v>73</v>
      </c>
      <c r="K2" s="10" t="s">
        <v>80</v>
      </c>
      <c r="L2" s="4" t="s">
        <v>64</v>
      </c>
      <c r="M2" s="5" t="s">
        <v>65</v>
      </c>
    </row>
    <row r="3" spans="1:13" ht="18" customHeight="1" thickBot="1" x14ac:dyDescent="0.3">
      <c r="A3" s="6">
        <v>1</v>
      </c>
      <c r="B3" s="7" t="s">
        <v>89</v>
      </c>
      <c r="C3" s="7" t="s">
        <v>116</v>
      </c>
      <c r="D3" s="7" t="s">
        <v>0</v>
      </c>
      <c r="E3" s="21">
        <f>_xlfn.IFNA(VLOOKUP(Table4[[#This Row],[Participant type]],Table1[],2,FALSE),"N/A")</f>
        <v>0.35</v>
      </c>
      <c r="F3" s="21" t="str">
        <f>_xlfn.IFNA(INDEX(Table3[National top-up rate],(MATCH(C3,Table3[Country],0)*MATCH(D3,Table3[Participant type],0)),0),"N/A")</f>
        <v>N/A</v>
      </c>
      <c r="G3" s="21">
        <f>IFERROR(Table4[[#This Row],[EU base rate]]+IF(Table4[[#This Row],[National 
top-up rate]]&lt;&gt;"N/A",Table4[[#This Row],[National 
top-up rate]],0),"N/A")</f>
        <v>0.35</v>
      </c>
      <c r="H3" s="30"/>
      <c r="I3" s="31">
        <f>IFERROR(Table4[[#This Row],[Total costs]]*Table4[[#This Row],[Total funding rate]],"N/A")</f>
        <v>0</v>
      </c>
      <c r="J3" s="30"/>
      <c r="L3" s="31">
        <f>IFERROR(Table4[[#This Row],[EU base rate]]*Table4[[#This Row],[Total costs]],0)</f>
        <v>0</v>
      </c>
      <c r="M3" s="31">
        <f>IFERROR((Table4[[#This Row],[National 
top-up rate]])*Table4[[#This Row],[Total costs]],0)</f>
        <v>0</v>
      </c>
    </row>
    <row r="4" spans="1:13" ht="18" customHeight="1" thickBot="1" x14ac:dyDescent="0.3">
      <c r="A4" s="6" t="s">
        <v>63</v>
      </c>
      <c r="B4" s="7" t="s">
        <v>82</v>
      </c>
      <c r="C4" s="7" t="s">
        <v>45</v>
      </c>
      <c r="D4" s="7" t="s">
        <v>1</v>
      </c>
      <c r="E4" s="21">
        <f>_xlfn.IFNA(VLOOKUP(Table4[[#This Row],[Participant type]],Table1[],2,FALSE),"N/A")</f>
        <v>0.5</v>
      </c>
      <c r="F4" s="21">
        <f>_xlfn.IFNA(INDEX(Table3[National top-up rate],(MATCH(C4,Table3[Country],0)*MATCH(D4,Table3[Participant type],0)),0),"N/A")</f>
        <v>0.5</v>
      </c>
      <c r="G4" s="21">
        <f>IFERROR(Table4[[#This Row],[EU base rate]]+IF(Table4[[#This Row],[National 
top-up rate]]&lt;&gt;"N/A",Table4[[#This Row],[National 
top-up rate]],0),"N/A")</f>
        <v>1</v>
      </c>
      <c r="H4" s="30"/>
      <c r="I4" s="31">
        <f>IFERROR(Table4[[#This Row],[Total costs]]*Table4[[#This Row],[Total funding rate]],"N/A")</f>
        <v>0</v>
      </c>
      <c r="J4" s="30"/>
      <c r="L4" s="31">
        <f>IFERROR(Table4[[#This Row],[EU base rate]]*Table4[[#This Row],[Total costs]],0)</f>
        <v>0</v>
      </c>
      <c r="M4" s="31">
        <f>IFERROR((Table4[[#This Row],[National 
top-up rate]])*Table4[[#This Row],[Total costs]],0)</f>
        <v>0</v>
      </c>
    </row>
    <row r="5" spans="1:13" ht="17.45" customHeight="1" thickBot="1" x14ac:dyDescent="0.3">
      <c r="A5" s="6">
        <v>2</v>
      </c>
      <c r="B5" s="7" t="s">
        <v>90</v>
      </c>
      <c r="C5" s="7" t="s">
        <v>19</v>
      </c>
      <c r="D5" s="7" t="s">
        <v>81</v>
      </c>
      <c r="E5" s="21">
        <f>_xlfn.IFNA(VLOOKUP(Table4[[#This Row],[Participant type]],Table1[],2,FALSE),"N/A")</f>
        <v>0.25</v>
      </c>
      <c r="F5" s="21" t="str">
        <f>_xlfn.IFNA(INDEX(Table3[National top-up rate],(MATCH(C5,Table3[Country],0)*MATCH(D5,Table3[Participant type],0)),0),"N/A")</f>
        <v>N/A</v>
      </c>
      <c r="G5" s="21">
        <f>IFERROR(Table4[[#This Row],[EU base rate]]+IF(Table4[[#This Row],[National 
top-up rate]]&lt;&gt;"N/A",Table4[[#This Row],[National 
top-up rate]],0),"N/A")</f>
        <v>0.25</v>
      </c>
      <c r="H5" s="33"/>
      <c r="I5" s="32">
        <f>IFERROR(Table4[[#This Row],[Total costs]]*Table4[[#This Row],[Total funding rate]],"N/A")</f>
        <v>0</v>
      </c>
      <c r="J5" s="33"/>
      <c r="L5" s="31">
        <f>IFERROR(Table4[[#This Row],[EU base rate]]*Table4[[#This Row],[Total costs]],0)</f>
        <v>0</v>
      </c>
      <c r="M5" s="31">
        <f>IFERROR((Table4[[#This Row],[National 
top-up rate]])*Table4[[#This Row],[Total costs]],0)</f>
        <v>0</v>
      </c>
    </row>
    <row r="6" spans="1:13" ht="20.45" customHeight="1" thickBot="1" x14ac:dyDescent="0.3">
      <c r="A6" s="9"/>
      <c r="B6" s="7"/>
      <c r="C6" s="7"/>
      <c r="D6" s="7"/>
      <c r="E6" s="21" t="str">
        <f>_xlfn.IFNA(VLOOKUP(Table4[[#This Row],[Participant type]],Table1[],2,FALSE),"N/A")</f>
        <v>N/A</v>
      </c>
      <c r="F6" s="21" t="str">
        <f>_xlfn.IFNA(INDEX(Table3[National top-up rate],(MATCH(C6,Table3[Country],0)*MATCH(D6,Table3[Participant type],0)),0),"N/A")</f>
        <v>N/A</v>
      </c>
      <c r="G6" s="21" t="str">
        <f>IFERROR(Table4[[#This Row],[EU base rate]]+IF(Table4[[#This Row],[National 
top-up rate]]&lt;&gt;"N/A",Table4[[#This Row],[National 
top-up rate]],0),"N/A")</f>
        <v>N/A</v>
      </c>
      <c r="H6" s="33"/>
      <c r="I6" s="32" t="str">
        <f>IFERROR(Table4[[#This Row],[Total costs]]*Table4[[#This Row],[Total funding rate]],"N/A")</f>
        <v>N/A</v>
      </c>
      <c r="J6" s="33"/>
      <c r="L6" s="31">
        <f>IFERROR(Table4[[#This Row],[EU base rate]]*Table4[[#This Row],[Total costs]],0)</f>
        <v>0</v>
      </c>
      <c r="M6" s="31">
        <f>IFERROR((Table4[[#This Row],[National 
top-up rate]])*Table4[[#This Row],[Total costs]],0)</f>
        <v>0</v>
      </c>
    </row>
    <row r="7" spans="1:13" ht="17.45" customHeight="1" thickBot="1" x14ac:dyDescent="0.3">
      <c r="A7" s="9"/>
      <c r="B7" s="7"/>
      <c r="C7" s="7"/>
      <c r="D7" s="7"/>
      <c r="E7" s="21" t="str">
        <f>_xlfn.IFNA(VLOOKUP(Table4[[#This Row],[Participant type]],Table1[],2,FALSE),"N/A")</f>
        <v>N/A</v>
      </c>
      <c r="F7" s="21" t="str">
        <f>_xlfn.IFNA(INDEX(Table3[National top-up rate],(MATCH(C7,Table3[Country],0)*MATCH(D7,Table3[Participant type],0)),0),"N/A")</f>
        <v>N/A</v>
      </c>
      <c r="G7" s="21" t="str">
        <f>IFERROR(Table4[[#This Row],[EU base rate]]+IF(Table4[[#This Row],[National 
top-up rate]]&lt;&gt;"N/A",Table4[[#This Row],[National 
top-up rate]],0),"N/A")</f>
        <v>N/A</v>
      </c>
      <c r="H7" s="33"/>
      <c r="I7" s="32" t="str">
        <f>IFERROR(Table4[[#This Row],[Total costs]]*Table4[[#This Row],[Total funding rate]],"N/A")</f>
        <v>N/A</v>
      </c>
      <c r="J7" s="33"/>
      <c r="L7" s="31">
        <f>IFERROR(Table4[[#This Row],[EU base rate]]*Table4[[#This Row],[Total costs]],0)</f>
        <v>0</v>
      </c>
      <c r="M7" s="31">
        <f>IFERROR((Table4[[#This Row],[National 
top-up rate]])*Table4[[#This Row],[Total costs]],0)</f>
        <v>0</v>
      </c>
    </row>
    <row r="8" spans="1:13" ht="19.149999999999999" customHeight="1" thickBot="1" x14ac:dyDescent="0.3">
      <c r="A8" s="9"/>
      <c r="B8" s="7"/>
      <c r="C8" s="7"/>
      <c r="D8" s="7"/>
      <c r="E8" s="21" t="str">
        <f>_xlfn.IFNA(VLOOKUP(Table4[[#This Row],[Participant type]],Table1[],2,FALSE),"N/A")</f>
        <v>N/A</v>
      </c>
      <c r="F8" s="21" t="str">
        <f>_xlfn.IFNA(INDEX(Table3[National top-up rate],(MATCH(C8,Table3[Country],0)*MATCH(D8,Table3[Participant type],0)),0),"N/A")</f>
        <v>N/A</v>
      </c>
      <c r="G8" s="21" t="str">
        <f>IFERROR(Table4[[#This Row],[EU base rate]]+IF(Table4[[#This Row],[National 
top-up rate]]&lt;&gt;"N/A",Table4[[#This Row],[National 
top-up rate]],0),"N/A")</f>
        <v>N/A</v>
      </c>
      <c r="H8" s="33"/>
      <c r="I8" s="32" t="str">
        <f>IFERROR(Table4[[#This Row],[Total costs]]*Table4[[#This Row],[Total funding rate]],"N/A")</f>
        <v>N/A</v>
      </c>
      <c r="J8" s="33"/>
      <c r="L8" s="31">
        <f>IFERROR(Table4[[#This Row],[EU base rate]]*Table4[[#This Row],[Total costs]],0)</f>
        <v>0</v>
      </c>
      <c r="M8" s="31">
        <f>IFERROR((Table4[[#This Row],[National 
top-up rate]])*Table4[[#This Row],[Total costs]],0)</f>
        <v>0</v>
      </c>
    </row>
    <row r="9" spans="1:13" ht="19.149999999999999" customHeight="1" thickBot="1" x14ac:dyDescent="0.3">
      <c r="A9" s="6"/>
      <c r="B9" s="7"/>
      <c r="C9" s="7"/>
      <c r="D9" s="7"/>
      <c r="E9" s="21" t="str">
        <f>_xlfn.IFNA(VLOOKUP(Table4[[#This Row],[Participant type]],Table1[],2,FALSE),"N/A")</f>
        <v>N/A</v>
      </c>
      <c r="F9" s="21" t="str">
        <f>_xlfn.IFNA(INDEX(Table3[National top-up rate],(MATCH(C9,Table3[Country],0)*MATCH(D9,Table3[Participant type],0)),0),"N/A")</f>
        <v>N/A</v>
      </c>
      <c r="G9" s="21" t="str">
        <f>IFERROR(Table4[[#This Row],[EU base rate]]+IF(Table4[[#This Row],[National 
top-up rate]]&lt;&gt;"N/A",Table4[[#This Row],[National 
top-up rate]],0),"N/A")</f>
        <v>N/A</v>
      </c>
      <c r="H9" s="33"/>
      <c r="I9" s="32" t="str">
        <f>IFERROR(Table4[[#This Row],[Total costs]]*Table4[[#This Row],[Total funding rate]],"N/A")</f>
        <v>N/A</v>
      </c>
      <c r="J9" s="33"/>
      <c r="L9" s="31">
        <f>IFERROR(Table4[[#This Row],[EU base rate]]*Table4[[#This Row],[Total costs]],0)</f>
        <v>0</v>
      </c>
      <c r="M9" s="31">
        <f>IFERROR((Table4[[#This Row],[National 
top-up rate]])*Table4[[#This Row],[Total costs]],0)</f>
        <v>0</v>
      </c>
    </row>
    <row r="10" spans="1:13" ht="25.15" customHeight="1" thickBot="1" x14ac:dyDescent="0.3">
      <c r="A10" s="23" t="s">
        <v>69</v>
      </c>
      <c r="B10" s="35"/>
      <c r="C10" s="35"/>
      <c r="D10" s="35"/>
      <c r="E10" s="35"/>
      <c r="F10" s="35"/>
      <c r="G10" s="35"/>
      <c r="H10" s="34">
        <f>SUM(H3:H9)</f>
        <v>0</v>
      </c>
      <c r="I10" s="34">
        <f>SUM(I3:I9)</f>
        <v>0</v>
      </c>
      <c r="J10" s="34">
        <f>SUM(J3:J9)</f>
        <v>0</v>
      </c>
      <c r="L10" s="34">
        <f>SUM(L3:L9)</f>
        <v>0</v>
      </c>
      <c r="M10" s="34">
        <f>SUM(M3:M9)</f>
        <v>0</v>
      </c>
    </row>
  </sheetData>
  <mergeCells count="2">
    <mergeCell ref="A1:J1"/>
    <mergeCell ref="L1:M1"/>
  </mergeCells>
  <dataValidations count="2">
    <dataValidation type="decimal" errorStyle="warning" operator="lessThanOrEqual" allowBlank="1" showInputMessage="1" showErrorMessage="1" errorTitle="Requested EU contribution error" error="Requested EU contribution needs to be less or equal to Maximum EU contribution" sqref="J3:J9" xr:uid="{00000000-0002-0000-0200-000000000000}">
      <formula1>I3</formula1>
    </dataValidation>
    <dataValidation type="decimal" operator="lessThanOrEqual" allowBlank="1" showInputMessage="1" showErrorMessage="1" promptTitle="Total funding rate" prompt="Total funding rate needs to be less or equal than 100%" sqref="G3:G9" xr:uid="{00000000-0002-0000-0200-000001000000}">
      <formula1>100</formula1>
    </dataValidation>
  </dataValidations>
  <pageMargins left="0.7" right="0.7" top="0.75" bottom="0.75" header="0.3" footer="0.3"/>
  <pageSetup paperSize="9" orientation="portrait" verticalDpi="0" r:id="rId1"/>
  <ignoredErrors>
    <ignoredError sqref="J10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2000000}">
          <x14:formula1>
            <xm:f>'4 - Country List'!$B$2:$B$46</xm:f>
          </x14:formula1>
          <xm:sqref>C3:C9</xm:sqref>
        </x14:dataValidation>
        <x14:dataValidation type="list" allowBlank="1" showInputMessage="1" showErrorMessage="1" xr:uid="{00000000-0002-0000-0200-000003000000}">
          <x14:formula1>
            <xm:f>'1- EU Base Rates'!$A$2:$A$5</xm:f>
          </x14:formula1>
          <xm:sqref>D3:D9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zoomScaleNormal="100" workbookViewId="0">
      <selection activeCell="M15" sqref="M15"/>
    </sheetView>
  </sheetViews>
  <sheetFormatPr defaultRowHeight="15" x14ac:dyDescent="0.25"/>
  <cols>
    <col min="1" max="1" width="6.7109375" customWidth="1"/>
    <col min="2" max="2" width="25.7109375" customWidth="1"/>
    <col min="3" max="3" width="18.7109375" customWidth="1"/>
    <col min="4" max="4" width="16.5703125" customWidth="1"/>
    <col min="5" max="5" width="17.140625" style="3" customWidth="1"/>
    <col min="6" max="6" width="15.85546875" style="3" customWidth="1"/>
    <col min="7" max="7" width="16.28515625" customWidth="1"/>
    <col min="8" max="8" width="14.28515625" customWidth="1"/>
  </cols>
  <sheetData>
    <row r="1" spans="1:8" ht="43.15" customHeight="1" thickBot="1" x14ac:dyDescent="0.3">
      <c r="A1" s="42" t="s">
        <v>91</v>
      </c>
      <c r="B1" s="42"/>
      <c r="C1" s="42"/>
      <c r="D1" s="42"/>
      <c r="E1" s="42"/>
      <c r="F1" s="42"/>
      <c r="G1" s="42"/>
      <c r="H1" s="42"/>
    </row>
    <row r="2" spans="1:8" ht="39" customHeight="1" thickBot="1" x14ac:dyDescent="0.3">
      <c r="A2" s="4" t="s">
        <v>87</v>
      </c>
      <c r="B2" s="4" t="s">
        <v>62</v>
      </c>
      <c r="C2" s="5" t="s">
        <v>73</v>
      </c>
      <c r="D2" s="4" t="s">
        <v>75</v>
      </c>
      <c r="E2" s="4" t="s">
        <v>76</v>
      </c>
      <c r="F2" s="4" t="s">
        <v>77</v>
      </c>
      <c r="G2" s="4" t="s">
        <v>78</v>
      </c>
      <c r="H2" s="4" t="s">
        <v>88</v>
      </c>
    </row>
    <row r="3" spans="1:8" ht="22.9" customHeight="1" thickBot="1" x14ac:dyDescent="0.3">
      <c r="A3" s="27">
        <v>1</v>
      </c>
      <c r="B3" s="26" t="s">
        <v>89</v>
      </c>
      <c r="C3" s="36">
        <f>_xlfn.IFNA(VLOOKUP(Table46[[#This Row],[Short name]],'3 - Funding Rate per Particpant'!B3:J9,9,FALSE),"N/A")</f>
        <v>0</v>
      </c>
      <c r="D3" s="37"/>
      <c r="E3" s="37"/>
      <c r="F3" s="37"/>
      <c r="G3" s="37"/>
      <c r="H3" s="37"/>
    </row>
    <row r="4" spans="1:8" ht="22.9" customHeight="1" thickBot="1" x14ac:dyDescent="0.3">
      <c r="A4" s="27" t="s">
        <v>63</v>
      </c>
      <c r="B4" s="26" t="s">
        <v>82</v>
      </c>
      <c r="C4" s="36">
        <f>_xlfn.IFNA(VLOOKUP(Table46[[#This Row],[Short name]],'3 - Funding Rate per Particpant'!B4:J10,9,FALSE),"N/A")</f>
        <v>0</v>
      </c>
      <c r="D4" s="37"/>
      <c r="E4" s="37"/>
      <c r="F4" s="37"/>
      <c r="G4" s="37"/>
      <c r="H4" s="37"/>
    </row>
    <row r="5" spans="1:8" ht="21" customHeight="1" thickBot="1" x14ac:dyDescent="0.3">
      <c r="A5" s="27">
        <v>2</v>
      </c>
      <c r="B5" s="26" t="s">
        <v>90</v>
      </c>
      <c r="C5" s="36">
        <f>_xlfn.IFNA(VLOOKUP(Table46[[#This Row],[Short name]],'3 - Funding Rate per Particpant'!B5:J11,9,FALSE),"N/A")</f>
        <v>0</v>
      </c>
      <c r="D5" s="37"/>
      <c r="E5" s="37"/>
      <c r="F5" s="37"/>
      <c r="G5" s="37"/>
      <c r="H5" s="37"/>
    </row>
    <row r="6" spans="1:8" ht="20.45" customHeight="1" thickBot="1" x14ac:dyDescent="0.3">
      <c r="A6" s="28"/>
      <c r="B6" s="6"/>
      <c r="C6" s="36" t="str">
        <f>_xlfn.IFNA(VLOOKUP(Table46[[#This Row],[Short name]],'3 - Funding Rate per Particpant'!B6:J12,9,FALSE),"N/A")</f>
        <v>N/A</v>
      </c>
      <c r="D6" s="37"/>
      <c r="E6" s="37"/>
      <c r="F6" s="37"/>
      <c r="G6" s="37"/>
      <c r="H6" s="37"/>
    </row>
    <row r="7" spans="1:8" ht="21" customHeight="1" thickBot="1" x14ac:dyDescent="0.3">
      <c r="A7" s="28"/>
      <c r="B7" s="6"/>
      <c r="C7" s="36" t="str">
        <f>_xlfn.IFNA(VLOOKUP(Table46[[#This Row],[Short name]],'3 - Funding Rate per Particpant'!B7:J13,9,FALSE),"N/A")</f>
        <v>N/A</v>
      </c>
      <c r="D7" s="37"/>
      <c r="E7" s="37"/>
      <c r="F7" s="37"/>
      <c r="G7" s="37"/>
      <c r="H7" s="37"/>
    </row>
    <row r="8" spans="1:8" ht="22.15" customHeight="1" thickBot="1" x14ac:dyDescent="0.3">
      <c r="A8" s="28"/>
      <c r="B8" s="6"/>
      <c r="C8" s="36" t="str">
        <f>_xlfn.IFNA(VLOOKUP(Table46[[#This Row],[Short name]],'3 - Funding Rate per Particpant'!B8:J14,9,FALSE),"N/A")</f>
        <v>N/A</v>
      </c>
      <c r="D8" s="37"/>
      <c r="E8" s="37"/>
      <c r="F8" s="37"/>
      <c r="G8" s="37"/>
      <c r="H8" s="37"/>
    </row>
    <row r="9" spans="1:8" ht="21" customHeight="1" thickBot="1" x14ac:dyDescent="0.3">
      <c r="A9" s="27"/>
      <c r="B9" s="6"/>
      <c r="C9" s="36" t="str">
        <f>_xlfn.IFNA(VLOOKUP(Table46[[#This Row],[Short name]],'3 - Funding Rate per Particpant'!B9:J15,9,FALSE),"N/A")</f>
        <v>N/A</v>
      </c>
      <c r="D9" s="37"/>
      <c r="E9" s="37"/>
      <c r="F9" s="37"/>
      <c r="G9" s="37"/>
      <c r="H9" s="37"/>
    </row>
    <row r="10" spans="1:8" ht="30" customHeight="1" thickBot="1" x14ac:dyDescent="0.3">
      <c r="A10" s="8" t="s">
        <v>69</v>
      </c>
      <c r="B10" s="20"/>
      <c r="C10" s="38">
        <f>SUM(C3:C9)</f>
        <v>0</v>
      </c>
      <c r="D10" s="38">
        <f>SUM(D3:D9)</f>
        <v>0</v>
      </c>
      <c r="E10" s="38">
        <f t="shared" ref="E10:H10" si="0">SUM(E3:E9)</f>
        <v>0</v>
      </c>
      <c r="F10" s="38">
        <f t="shared" si="0"/>
        <v>0</v>
      </c>
      <c r="G10" s="38">
        <f t="shared" si="0"/>
        <v>0</v>
      </c>
      <c r="H10" s="38">
        <f t="shared" si="0"/>
        <v>0</v>
      </c>
    </row>
  </sheetData>
  <mergeCells count="1">
    <mergeCell ref="A1:H1"/>
  </mergeCells>
  <dataValidations count="5">
    <dataValidation type="decimal" errorStyle="warning" operator="lessThanOrEqual" allowBlank="1" showInputMessage="1" showErrorMessage="1" errorTitle="RP1" error="Share of the Requested EU contribution for a reporting period cannot be higher that the Requested EU contribution itself" promptTitle="RP1" prompt="Share of Requested EU contribution for the RP1" sqref="D3:D9" xr:uid="{00000000-0002-0000-0300-000000000000}">
      <formula1>C3</formula1>
    </dataValidation>
    <dataValidation type="decimal" errorStyle="warning" operator="lessThanOrEqual" allowBlank="1" showInputMessage="1" showErrorMessage="1" errorTitle="RP2" error="Share of the Requested EU contribution for a reporting period cannot be higher that the Requested EU contribution itself" promptTitle="RP2" prompt="Share of Requested EU contribution for the RP2" sqref="E3:E9" xr:uid="{00000000-0002-0000-0300-000001000000}">
      <formula1>C3</formula1>
    </dataValidation>
    <dataValidation type="decimal" errorStyle="warning" operator="lessThanOrEqual" allowBlank="1" showInputMessage="1" showErrorMessage="1" errorTitle="RP3" error="Share of the Requested EU contribution for a reporting period cannot be higher that the Requested EU contribution itself" promptTitle="RP3" prompt="Share of Requested EU contribution for the RP3" sqref="F3:F9" xr:uid="{00000000-0002-0000-0300-000002000000}">
      <formula1>C3</formula1>
    </dataValidation>
    <dataValidation type="decimal" errorStyle="warning" operator="lessThanOrEqual" allowBlank="1" showInputMessage="1" showErrorMessage="1" errorTitle="RPx" error="Share of the Requested EU contribution for a reporting period cannot be higher that the Requested EU contribution itself" promptTitle="RPx" prompt="Share of Requested EU contribution for the RPx" sqref="G3:G9" xr:uid="{00000000-0002-0000-0300-000003000000}">
      <formula1>C3</formula1>
    </dataValidation>
    <dataValidation type="decimal" errorStyle="warning" operator="lessThanOrEqual" allowBlank="1" showInputMessage="1" showErrorMessage="1" errorTitle="Final RP" error="Share of the Requested EU contribution for a reporting period cannot be higher that the Requested EU contribution itself" promptTitle="Final RP" prompt="Share of Requested EU contribution for the final RP" sqref="H3:H9" xr:uid="{00000000-0002-0000-0300-000004000000}">
      <formula1>C3</formula1>
    </dataValidation>
  </dataValidations>
  <pageMargins left="0.7" right="0.7" top="0.75" bottom="0.75" header="0.3" footer="0.3"/>
  <pageSetup paperSize="9" orientation="portrait" verticalDpi="0" r:id="rId1"/>
  <ignoredErrors>
    <ignoredError sqref="C10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'3 - Funding Rate per Particpant'!$B$3:$B$9</xm:f>
          </x14:formula1>
          <xm:sqref>B3:B9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6"/>
  <sheetViews>
    <sheetView topLeftCell="A2" workbookViewId="0">
      <selection activeCell="B46" sqref="B46"/>
    </sheetView>
  </sheetViews>
  <sheetFormatPr defaultRowHeight="15" x14ac:dyDescent="0.25"/>
  <cols>
    <col min="1" max="1" width="13.85546875" customWidth="1"/>
    <col min="2" max="2" width="14.7109375" customWidth="1"/>
    <col min="3" max="3" width="24.7109375" customWidth="1"/>
  </cols>
  <sheetData>
    <row r="1" spans="1:3" x14ac:dyDescent="0.25">
      <c r="A1" s="2" t="s">
        <v>3</v>
      </c>
      <c r="B1" s="2" t="s">
        <v>4</v>
      </c>
      <c r="C1" s="2" t="s">
        <v>60</v>
      </c>
    </row>
    <row r="2" spans="1:3" x14ac:dyDescent="0.25">
      <c r="A2" t="s">
        <v>6</v>
      </c>
      <c r="B2" t="s">
        <v>7</v>
      </c>
      <c r="C2" t="s">
        <v>61</v>
      </c>
    </row>
    <row r="3" spans="1:3" x14ac:dyDescent="0.25">
      <c r="A3" t="s">
        <v>8</v>
      </c>
      <c r="B3" t="s">
        <v>9</v>
      </c>
      <c r="C3" t="s">
        <v>61</v>
      </c>
    </row>
    <row r="4" spans="1:3" x14ac:dyDescent="0.25">
      <c r="A4" t="s">
        <v>10</v>
      </c>
      <c r="B4" t="s">
        <v>11</v>
      </c>
      <c r="C4" t="s">
        <v>61</v>
      </c>
    </row>
    <row r="5" spans="1:3" x14ac:dyDescent="0.25">
      <c r="A5" t="s">
        <v>12</v>
      </c>
      <c r="B5" t="s">
        <v>13</v>
      </c>
      <c r="C5" t="s">
        <v>61</v>
      </c>
    </row>
    <row r="6" spans="1:3" x14ac:dyDescent="0.25">
      <c r="A6" t="s">
        <v>14</v>
      </c>
      <c r="B6" t="s">
        <v>15</v>
      </c>
      <c r="C6" t="s">
        <v>61</v>
      </c>
    </row>
    <row r="7" spans="1:3" x14ac:dyDescent="0.25">
      <c r="A7" t="s">
        <v>16</v>
      </c>
      <c r="B7" t="s">
        <v>17</v>
      </c>
      <c r="C7" t="s">
        <v>61</v>
      </c>
    </row>
    <row r="8" spans="1:3" x14ac:dyDescent="0.25">
      <c r="A8" t="s">
        <v>18</v>
      </c>
      <c r="B8" t="s">
        <v>19</v>
      </c>
      <c r="C8" t="s">
        <v>61</v>
      </c>
    </row>
    <row r="9" spans="1:3" x14ac:dyDescent="0.25">
      <c r="A9" t="s">
        <v>20</v>
      </c>
      <c r="B9" t="s">
        <v>21</v>
      </c>
      <c r="C9" t="s">
        <v>61</v>
      </c>
    </row>
    <row r="10" spans="1:3" x14ac:dyDescent="0.25">
      <c r="A10" t="s">
        <v>22</v>
      </c>
      <c r="B10" t="s">
        <v>23</v>
      </c>
      <c r="C10" t="s">
        <v>61</v>
      </c>
    </row>
    <row r="11" spans="1:3" x14ac:dyDescent="0.25">
      <c r="A11" t="s">
        <v>24</v>
      </c>
      <c r="B11" t="s">
        <v>25</v>
      </c>
      <c r="C11" t="s">
        <v>61</v>
      </c>
    </row>
    <row r="12" spans="1:3" x14ac:dyDescent="0.25">
      <c r="A12" t="s">
        <v>26</v>
      </c>
      <c r="B12" t="s">
        <v>27</v>
      </c>
      <c r="C12" t="s">
        <v>61</v>
      </c>
    </row>
    <row r="13" spans="1:3" x14ac:dyDescent="0.25">
      <c r="A13" t="s">
        <v>28</v>
      </c>
      <c r="B13" t="s">
        <v>29</v>
      </c>
      <c r="C13" t="s">
        <v>61</v>
      </c>
    </row>
    <row r="14" spans="1:3" x14ac:dyDescent="0.25">
      <c r="A14" t="s">
        <v>30</v>
      </c>
      <c r="B14" t="s">
        <v>31</v>
      </c>
      <c r="C14" t="s">
        <v>61</v>
      </c>
    </row>
    <row r="15" spans="1:3" x14ac:dyDescent="0.25">
      <c r="A15" t="s">
        <v>32</v>
      </c>
      <c r="B15" t="s">
        <v>33</v>
      </c>
      <c r="C15" t="s">
        <v>61</v>
      </c>
    </row>
    <row r="16" spans="1:3" x14ac:dyDescent="0.25">
      <c r="A16" t="s">
        <v>34</v>
      </c>
      <c r="B16" t="s">
        <v>35</v>
      </c>
      <c r="C16" t="s">
        <v>61</v>
      </c>
    </row>
    <row r="17" spans="1:3" x14ac:dyDescent="0.25">
      <c r="A17" t="s">
        <v>36</v>
      </c>
      <c r="B17" t="s">
        <v>37</v>
      </c>
      <c r="C17" t="s">
        <v>61</v>
      </c>
    </row>
    <row r="18" spans="1:3" x14ac:dyDescent="0.25">
      <c r="A18" t="s">
        <v>38</v>
      </c>
      <c r="B18" t="s">
        <v>39</v>
      </c>
      <c r="C18" t="s">
        <v>61</v>
      </c>
    </row>
    <row r="19" spans="1:3" x14ac:dyDescent="0.25">
      <c r="A19" t="s">
        <v>40</v>
      </c>
      <c r="B19" t="s">
        <v>41</v>
      </c>
      <c r="C19" t="s">
        <v>61</v>
      </c>
    </row>
    <row r="20" spans="1:3" x14ac:dyDescent="0.25">
      <c r="A20" t="s">
        <v>42</v>
      </c>
      <c r="B20" t="s">
        <v>43</v>
      </c>
      <c r="C20" t="s">
        <v>61</v>
      </c>
    </row>
    <row r="21" spans="1:3" x14ac:dyDescent="0.25">
      <c r="A21" t="s">
        <v>44</v>
      </c>
      <c r="B21" t="s">
        <v>45</v>
      </c>
      <c r="C21" t="s">
        <v>61</v>
      </c>
    </row>
    <row r="22" spans="1:3" x14ac:dyDescent="0.25">
      <c r="A22" t="s">
        <v>46</v>
      </c>
      <c r="B22" t="s">
        <v>47</v>
      </c>
      <c r="C22" t="s">
        <v>61</v>
      </c>
    </row>
    <row r="23" spans="1:3" x14ac:dyDescent="0.25">
      <c r="A23" t="s">
        <v>48</v>
      </c>
      <c r="B23" t="s">
        <v>49</v>
      </c>
      <c r="C23" t="s">
        <v>61</v>
      </c>
    </row>
    <row r="24" spans="1:3" x14ac:dyDescent="0.25">
      <c r="A24" t="s">
        <v>50</v>
      </c>
      <c r="B24" t="s">
        <v>51</v>
      </c>
      <c r="C24" t="s">
        <v>61</v>
      </c>
    </row>
    <row r="25" spans="1:3" x14ac:dyDescent="0.25">
      <c r="A25" t="s">
        <v>52</v>
      </c>
      <c r="B25" t="s">
        <v>53</v>
      </c>
      <c r="C25" t="s">
        <v>61</v>
      </c>
    </row>
    <row r="26" spans="1:3" x14ac:dyDescent="0.25">
      <c r="A26" t="s">
        <v>54</v>
      </c>
      <c r="B26" t="s">
        <v>55</v>
      </c>
      <c r="C26" t="s">
        <v>61</v>
      </c>
    </row>
    <row r="27" spans="1:3" x14ac:dyDescent="0.25">
      <c r="A27" t="s">
        <v>56</v>
      </c>
      <c r="B27" t="s">
        <v>57</v>
      </c>
      <c r="C27" t="s">
        <v>61</v>
      </c>
    </row>
    <row r="28" spans="1:3" x14ac:dyDescent="0.25">
      <c r="A28" t="s">
        <v>58</v>
      </c>
      <c r="B28" t="s">
        <v>59</v>
      </c>
      <c r="C28" t="s">
        <v>61</v>
      </c>
    </row>
    <row r="29" spans="1:3" x14ac:dyDescent="0.25">
      <c r="A29" t="s">
        <v>93</v>
      </c>
      <c r="B29" t="s">
        <v>94</v>
      </c>
      <c r="C29" t="s">
        <v>92</v>
      </c>
    </row>
    <row r="30" spans="1:3" x14ac:dyDescent="0.25">
      <c r="A30" t="s">
        <v>95</v>
      </c>
      <c r="B30" t="s">
        <v>96</v>
      </c>
      <c r="C30" t="s">
        <v>92</v>
      </c>
    </row>
    <row r="31" spans="1:3" x14ac:dyDescent="0.25">
      <c r="A31" t="s">
        <v>97</v>
      </c>
      <c r="B31" t="s">
        <v>98</v>
      </c>
      <c r="C31" t="s">
        <v>92</v>
      </c>
    </row>
    <row r="32" spans="1:3" x14ac:dyDescent="0.25">
      <c r="A32" t="s">
        <v>99</v>
      </c>
      <c r="B32" t="s">
        <v>100</v>
      </c>
      <c r="C32" t="s">
        <v>92</v>
      </c>
    </row>
    <row r="33" spans="1:3" x14ac:dyDescent="0.25">
      <c r="A33" t="s">
        <v>101</v>
      </c>
      <c r="B33" t="s">
        <v>128</v>
      </c>
      <c r="C33" t="s">
        <v>92</v>
      </c>
    </row>
    <row r="34" spans="1:3" x14ac:dyDescent="0.25">
      <c r="A34" t="s">
        <v>102</v>
      </c>
      <c r="B34" t="s">
        <v>103</v>
      </c>
      <c r="C34" t="s">
        <v>92</v>
      </c>
    </row>
    <row r="35" spans="1:3" x14ac:dyDescent="0.25">
      <c r="A35" t="s">
        <v>104</v>
      </c>
      <c r="B35" t="s">
        <v>105</v>
      </c>
      <c r="C35" t="s">
        <v>92</v>
      </c>
    </row>
    <row r="36" spans="1:3" x14ac:dyDescent="0.25">
      <c r="A36" t="s">
        <v>106</v>
      </c>
      <c r="B36" t="s">
        <v>107</v>
      </c>
      <c r="C36" t="s">
        <v>92</v>
      </c>
    </row>
    <row r="37" spans="1:3" x14ac:dyDescent="0.25">
      <c r="A37" t="s">
        <v>108</v>
      </c>
      <c r="B37" t="s">
        <v>109</v>
      </c>
      <c r="C37" t="s">
        <v>92</v>
      </c>
    </row>
    <row r="38" spans="1:3" x14ac:dyDescent="0.25">
      <c r="A38" t="s">
        <v>110</v>
      </c>
      <c r="B38" t="s">
        <v>111</v>
      </c>
      <c r="C38" t="s">
        <v>92</v>
      </c>
    </row>
    <row r="39" spans="1:3" x14ac:dyDescent="0.25">
      <c r="A39" t="s">
        <v>114</v>
      </c>
      <c r="B39" t="s">
        <v>117</v>
      </c>
      <c r="C39" t="s">
        <v>92</v>
      </c>
    </row>
    <row r="40" spans="1:3" x14ac:dyDescent="0.25">
      <c r="A40" t="s">
        <v>112</v>
      </c>
      <c r="B40" t="s">
        <v>113</v>
      </c>
      <c r="C40" t="s">
        <v>92</v>
      </c>
    </row>
    <row r="41" spans="1:3" x14ac:dyDescent="0.25">
      <c r="A41" t="s">
        <v>115</v>
      </c>
      <c r="B41" t="s">
        <v>116</v>
      </c>
      <c r="C41" t="s">
        <v>92</v>
      </c>
    </row>
    <row r="42" spans="1:3" x14ac:dyDescent="0.25">
      <c r="A42" t="s">
        <v>118</v>
      </c>
      <c r="B42" t="s">
        <v>119</v>
      </c>
      <c r="C42" t="s">
        <v>92</v>
      </c>
    </row>
    <row r="43" spans="1:3" x14ac:dyDescent="0.25">
      <c r="A43" t="s">
        <v>122</v>
      </c>
      <c r="B43" t="s">
        <v>123</v>
      </c>
      <c r="C43" t="s">
        <v>92</v>
      </c>
    </row>
    <row r="44" spans="1:3" x14ac:dyDescent="0.25">
      <c r="A44" t="s">
        <v>124</v>
      </c>
      <c r="B44" t="s">
        <v>125</v>
      </c>
      <c r="C44" t="s">
        <v>92</v>
      </c>
    </row>
    <row r="45" spans="1:3" x14ac:dyDescent="0.25">
      <c r="A45" t="s">
        <v>126</v>
      </c>
      <c r="B45" t="s">
        <v>127</v>
      </c>
      <c r="C45" t="s">
        <v>92</v>
      </c>
    </row>
    <row r="46" spans="1:3" x14ac:dyDescent="0.25">
      <c r="A46" t="s">
        <v>120</v>
      </c>
      <c r="B46" t="s">
        <v>121</v>
      </c>
      <c r="C46" t="s">
        <v>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C Document" ma:contentTypeID="0x010100258AA79CEB83498886A3A086811232500015D68561EDF2314DA91E1210E4D82B5C" ma:contentTypeVersion="39" ma:contentTypeDescription="Create a new document in this library." ma:contentTypeScope="" ma:versionID="32312dbbb1ca45b91f388eacc14d7c03">
  <xsd:schema xmlns:xsd="http://www.w3.org/2001/XMLSchema" xmlns:xs="http://www.w3.org/2001/XMLSchema" xmlns:p="http://schemas.microsoft.com/office/2006/metadata/properties" xmlns:ns2="084a5cd8-1559-4e94-ac72-b94fb9abc19e" xmlns:ns3="58f75e61-ed07-41d3-a804-02f248e1fac3" targetNamespace="http://schemas.microsoft.com/office/2006/metadata/properties" ma:root="true" ma:fieldsID="12cf1b7d9ea69e3d4778aac9a700f168" ns2:_="" ns3:_="">
    <xsd:import namespace="084a5cd8-1559-4e94-ac72-b94fb9abc19e"/>
    <xsd:import namespace="58f75e61-ed07-41d3-a804-02f248e1fac3"/>
    <xsd:element name="properties">
      <xsd:complexType>
        <xsd:sequence>
          <xsd:element name="documentManagement">
            <xsd:complexType>
              <xsd:all>
                <xsd:element ref="ns2:ProgrGroup" minOccurs="0"/>
                <xsd:element ref="ns2:ProgrCategory" minOccurs="0"/>
                <xsd:element ref="ns2:Order1" minOccurs="0"/>
                <xsd:element ref="ns2:DocComments" minOccurs="0"/>
                <xsd:element ref="ns2:DocOfficerComments" minOccurs="0"/>
                <xsd:element ref="ns2:DocStatus" minOccurs="0"/>
                <xsd:element ref="ns2:DocPublProtocol" minOccurs="0"/>
                <xsd:element ref="ns2:DocInternalExternal" minOccurs="0"/>
                <xsd:element ref="ns2:DocPublDestination" minOccurs="0"/>
                <xsd:element ref="ns2:DocPublDate" minOccurs="0"/>
                <xsd:element ref="ns2:DocPublversion" minOccurs="0"/>
                <xsd:element ref="ns2:ITcomments" minOccurs="0"/>
                <xsd:element ref="ns2:ITstatus" minOccurs="0"/>
                <xsd:element ref="ns3:s86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a5cd8-1559-4e94-ac72-b94fb9abc19e" elementFormDefault="qualified">
    <xsd:import namespace="http://schemas.microsoft.com/office/2006/documentManagement/types"/>
    <xsd:import namespace="http://schemas.microsoft.com/office/infopath/2007/PartnerControls"/>
    <xsd:element name="ProgrGroup" ma:index="1" nillable="true" ma:displayName="Programme Docs Group" ma:description="Needed for MGAs &amp; Programme Documents (MFF 2021-2027)" ma:format="Dropdown" ma:internalName="ProgrGroup">
      <xsd:simpleType>
        <xsd:union memberTypes="dms:Text">
          <xsd:simpleType>
            <xsd:restriction base="dms:Choice">
              <xsd:enumeration value="00 CORPORATE MASTERFILES"/>
              <xsd:enumeration value="00 HEALTHCHECKS"/>
              <xsd:enumeration value="01 HORIZON and EURATOM"/>
              <xsd:enumeration value="02 RFCS"/>
              <xsd:enumeration value="03 DIGITAL EUROPE (DEP)"/>
              <xsd:enumeration value="04 DEFENCE (EDF, ASAP and EDIRPA)"/>
              <xsd:enumeration value="05 SPACE"/>
              <xsd:enumeration value="06 CEF"/>
              <xsd:enumeration value="07 I3"/>
              <xsd:enumeration value="07a ERDF-TA"/>
              <xsd:enumeration value="08 IMREG"/>
              <xsd:enumeration value="09 LIFE"/>
              <xsd:enumeration value="10 INNOVFUND"/>
              <xsd:enumeration value="11 RENEWFM"/>
              <xsd:enumeration value="11a JTM"/>
              <xsd:enumeration value="12 EMFAF"/>
              <xsd:enumeration value="13 AGRIP"/>
              <xsd:enumeration value="14 IMCAP"/>
              <xsd:enumeration value="15 SINGLE MARKET (SMP)"/>
              <xsd:enumeration value="15a BUSINESS CONSUMER SURVEYS (BCS)"/>
              <xsd:enumeration value="16 ERASMUS"/>
              <xsd:enumeration value="17 CREATIVE EUROPE"/>
              <xsd:enumeration value="18 EUROPEAN SOLIDARITY CORPS (ESC)"/>
              <xsd:enumeration value="19 CERV"/>
              <xsd:enumeration value="20 JUSTICE"/>
              <xsd:enumeration value="21 ESF and SOCPL"/>
              <xsd:enumeration value="22 EU4HEALTH"/>
              <xsd:enumeration value="23 AMIF, ISF and BMVI"/>
              <xsd:enumeration value="24 EU ANTI-FRAUD"/>
              <xsd:enumeration value="25 CUSTOMS and FISCALIS"/>
              <xsd:enumeration value="26 CCEI"/>
              <xsd:enumeration value="27 PERICLES"/>
              <xsd:enumeration value="28 TECHNICAL SUPPORT (TSI)"/>
              <xsd:enumeration value="29 UCPM"/>
              <xsd:enumeration value="30 HUMANITARIAN AID"/>
              <xsd:enumeration value="31 RELEX"/>
              <xsd:enumeration value="41 EUROPE DIRECT"/>
              <xsd:enumeration value="41 EUROPOL"/>
              <xsd:enumeration value="41 PPPA"/>
            </xsd:restriction>
          </xsd:simpleType>
        </xsd:union>
      </xsd:simpleType>
    </xsd:element>
    <xsd:element name="ProgrCategory" ma:index="2" nillable="true" ma:displayName="Programme Docs Category" ma:description="Needed for MGAs &amp; Programme Documents (MFF 2021-2027)" ma:format="Dropdown" ma:internalName="ProgrCategory">
      <xsd:simpleType>
        <xsd:union memberTypes="dms:Text">
          <xsd:simpleType>
            <xsd:restriction base="dms:Choice">
              <xsd:enumeration value="1. MGAs"/>
              <xsd:enumeration value="2. Programme guidance"/>
              <xsd:enumeration value="3. Customised reports &amp; forms"/>
              <xsd:enumeration value="5. Other"/>
              <xsd:enumeration value="6. xxx PUBLICATION FOLDERS"/>
              <xsd:enumeration value="7. xxxx DISCARDED DOCUMENTS"/>
              <xsd:enumeration value="7. xxxx DONE DOCUMENTS"/>
              <xsd:enumeration value="7. xxxx ORIGINAL DOCUMENTS"/>
              <xsd:enumeration value="1. PART C HEALTHCHECK"/>
              <xsd:enumeration value="2. MGA Annexes"/>
              <xsd:enumeration value="3. Customised reports &amp; forms (HE ERC)"/>
              <xsd:enumeration value="3. Customised reports &amp; forms (HE MSCA)"/>
              <xsd:enumeration value="3. Customised reports &amp; forms (HE EIC)"/>
              <xsd:enumeration value="3. Customised reports &amp; forms (HE EIT)"/>
              <xsd:enumeration value="3. Customised reports &amp; forms (ASAP)"/>
              <xsd:enumeration value="3. Customised reports &amp; forms (EDIRPA)"/>
              <xsd:enumeration value="3. Customised reports &amp; forms (aCEF-T)"/>
              <xsd:enumeration value="3. Customised reports &amp; forms (bCEF-E)"/>
              <xsd:enumeration value="3. Customised reports &amp; forms (cCEF-DIG)"/>
              <xsd:enumeration value="3. Customised reports &amp; forms (INNOVFUND AUCTIONS)"/>
              <xsd:enumeration value="3. Customised reports &amp; forms (SMP COSME)"/>
              <xsd:enumeration value="3. Customised reports &amp; forms (SMP CONS)"/>
              <xsd:enumeration value="3. Customised reports &amp; forms (SMP COMP)"/>
              <xsd:enumeration value="3. Customised reports &amp; forms (SMP FOOD)"/>
              <xsd:enumeration value="3. Customised reports &amp; forms (SMP STAND)"/>
              <xsd:enumeration value="3. Customised reports &amp; forms (SMP ESS)"/>
              <xsd:enumeration value="3. Customised reports &amp; forms (SMP SURV)"/>
              <xsd:enumeration value="3. Customised reports &amp; forms (ERASMUS JMO Schools Info Package)"/>
              <xsd:enumeration value="3. Customised reports &amp; forms (ECHE Certificate)"/>
              <xsd:enumeration value="3. Customised reports &amp; forms (ESC HUMAID Quality Label)"/>
              <xsd:enumeration value="3. Customised reports &amp; forms (ECHO Partnership Certificate)"/>
              <xsd:enumeration value="3. Customised reports &amp; forms (NDICI and IPA TWINNING)"/>
              <xsd:enumeration value="3. Customised reports &amp; forms (NDICI MOBAF)"/>
              <xsd:enumeration value="3. Customised reports &amp; forms (PPPA EACEA)"/>
            </xsd:restriction>
          </xsd:simpleType>
        </xsd:union>
      </xsd:simpleType>
    </xsd:element>
    <xsd:element name="Order1" ma:index="3" nillable="true" ma:displayName="Order" ma:internalName="Order1" ma:percentage="FALSE">
      <xsd:simpleType>
        <xsd:restriction base="dms:Number"/>
      </xsd:simpleType>
    </xsd:element>
    <xsd:element name="DocComments" ma:index="4" nillable="true" ma:displayName="Doc Comments" ma:description="Needed for all Pages" ma:internalName="DocComments">
      <xsd:simpleType>
        <xsd:restriction base="dms:Note"/>
      </xsd:simpleType>
    </xsd:element>
    <xsd:element name="DocOfficerComments" ma:index="5" nillable="true" ma:displayName="Doc Officer Comments" ma:description="Needed for MGAs &amp; Programme Documents and Business Documents Management View" ma:internalName="DocOfficerComments">
      <xsd:simpleType>
        <xsd:restriction base="dms:Note">
          <xsd:maxLength value="255"/>
        </xsd:restriction>
      </xsd:simpleType>
    </xsd:element>
    <xsd:element name="DocStatus" ma:index="6" nillable="true" ma:displayName="Doc Status" ma:description="Needed for all except GoFund Archive" ma:format="Dropdown" ma:internalName="DocStatus">
      <xsd:simpleType>
        <xsd:union memberTypes="dms:Text">
          <xsd:simpleType>
            <xsd:restriction base="dms:Choice">
              <xsd:enumeration value="͏New"/>
              <xsd:enumeration value="New version"/>
              <xsd:enumeration value="Under validation"/>
              <xsd:enumeration value="Ready"/>
              <xsd:enumeration value="Ready for publication"/>
              <xsd:enumeration value="Published"/>
              <xsd:enumeration value="Wait"/>
              <xsd:enumeration value="n/a (backoffice document)"/>
              <xsd:enumeration value="old document"/>
            </xsd:restriction>
          </xsd:simpleType>
        </xsd:union>
      </xsd:simpleType>
    </xsd:element>
    <xsd:element name="DocPublProtocol" ma:index="7" nillable="true" ma:displayName="Doc Publ. Protocol" ma:description="Needed for MGAs &amp; Programme Documents and Business Documents Management View" ma:format="Dropdown" ma:internalName="DocPublProtocol">
      <xsd:simpleType>
        <xsd:union memberTypes="dms:Text">
          <xsd:simpleType>
            <xsd:restriction base="dms:Choice">
              <xsd:enumeration value="MGA2-1 MGAs"/>
              <xsd:enumeration value="CONTR1-1 Expert contracts"/>
              <xsd:enumeration value="GUID1-1 Business - External guidance"/>
              <xsd:enumeration value="GUID1-2 Business - Internal guidance"/>
              <xsd:enumeration value="GUID2-1 Programme tpl - External guidance"/>
              <xsd:enumeration value="GUID2-2 Programme tpl - Internal guidance"/>
              <xsd:enumeration value="TPL1-1 Business - Decisions"/>
              <xsd:enumeration value="TPL1-2 Business - Reports"/>
              <xsd:enumeration value="TPL1-3 Business - Letters"/>
              <xsd:enumeration value="TPL1-4 Business - Special (Portal)"/>
              <xsd:enumeration value="TPL1-5 Business - Special (GoFund)"/>
              <xsd:enumeration value="TPL2-1 Programme tpl - Call documents"/>
              <xsd:enumeration value="TPL2-2 Programme tpl - Application forms, etc"/>
              <xsd:enumeration value="TPL2-3 Programme tpl - Evaluation forms, etc"/>
              <xsd:enumeration value="TPL2-4 Programme tpl - DoAs"/>
              <xsd:enumeration value="TPL2-5 Programme tpl - Reporting forms, etc"/>
              <xsd:enumeration value="TPL2-6 Programme tpl - Audit templates"/>
              <xsd:enumeration value="TPL2-7 Programme tpl - Other"/>
              <xsd:enumeration value="Portal1-1 Terms &amp; Conditions"/>
              <xsd:enumeration value="Portal1-2 Privacy Statement"/>
              <xsd:enumeration value="Portal1-3 Glossary"/>
              <xsd:enumeration value="Portal1-4 Lists of expert names"/>
            </xsd:restriction>
          </xsd:simpleType>
        </xsd:union>
      </xsd:simpleType>
    </xsd:element>
    <xsd:element name="DocInternalExternal" ma:index="8" nillable="true" ma:displayName="Doc Internal/External" ma:description="Needed for MGAs &amp; Programme Documents and Business Documentation Management View" ma:format="Dropdown" ma:internalName="DocInternalExternal">
      <xsd:simpleType>
        <xsd:union memberTypes="dms:Text">
          <xsd:simpleType>
            <xsd:restriction base="dms:Choice">
              <xsd:enumeration value="Internal"/>
              <xsd:enumeration value="External"/>
              <xsd:enumeration value="Internal &amp; external"/>
            </xsd:restriction>
          </xsd:simpleType>
        </xsd:union>
      </xsd:simpleType>
    </xsd:element>
    <xsd:element name="DocPublDestination" ma:index="9" nillable="true" ma:displayName="Doc Publ. Destination" ma:description="Needed for MGAs &amp; Programme Documents and Business Documents Management View" ma:internalName="DocPublDestination">
      <xsd:simpleType>
        <xsd:restriction base="dms:Note">
          <xsd:maxLength value="255"/>
        </xsd:restriction>
      </xsd:simpleType>
    </xsd:element>
    <xsd:element name="DocPublDate" ma:index="10" nillable="true" ma:displayName="Doc Publ. Date" ma:description="Needed for MGAs &amp; Programme Documents and Business Documents Management View" ma:format="DateOnly" ma:internalName="DocPublDate">
      <xsd:simpleType>
        <xsd:restriction base="dms:DateTime"/>
      </xsd:simpleType>
    </xsd:element>
    <xsd:element name="DocPublversion" ma:index="11" nillable="true" ma:displayName="Doc Publ. Version" ma:description="Needed for MGAs &amp; Programme Documents and Business Documents Management View" ma:internalName="DocPublversion" ma:percentage="FALSE">
      <xsd:simpleType>
        <xsd:restriction base="dms:Number"/>
      </xsd:simpleType>
    </xsd:element>
    <xsd:element name="ITcomments" ma:index="12" nillable="true" ma:displayName="IT Comments" ma:description="Needed for MGAs &amp; Programme Documents and Business Documents Normal View" ma:internalName="ITcomments">
      <xsd:simpleType>
        <xsd:restriction base="dms:Note">
          <xsd:maxLength value="255"/>
        </xsd:restriction>
      </xsd:simpleType>
    </xsd:element>
    <xsd:element name="ITstatus" ma:index="13" nillable="true" ma:displayName="IT Status" ma:description="Needed for MGAs &amp; Programme Documents and Business Documents Normal View" ma:format="Dropdown" ma:internalName="ITstatus">
      <xsd:simpleType>
        <xsd:union memberTypes="dms:Text">
          <xsd:simpleType>
            <xsd:restriction base="dms:Choice">
              <xsd:enumeration value="͏Wait"/>
              <xsd:enumeration value="Ready for IT"/>
              <xsd:enumeration value="IT implementation started"/>
              <xsd:enumeration value="IT implementation finished"/>
              <xsd:enumeration value="New version ready for IT"/>
              <xsd:enumeration value="n/a (no IT implementation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75e61-ed07-41d3-a804-02f248e1fac3" elementFormDefault="qualified">
    <xsd:import namespace="http://schemas.microsoft.com/office/2006/documentManagement/types"/>
    <xsd:import namespace="http://schemas.microsoft.com/office/infopath/2007/PartnerControls"/>
    <xsd:element name="s86b" ma:index="21" nillable="true" ma:displayName="Doc Internal/External" ma:internalName="s86b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r1 xmlns="084a5cd8-1559-4e94-ac72-b94fb9abc19e">26</Order1>
    <DocComments xmlns="084a5cd8-1559-4e94-ac72-b94fb9abc19e" xsi:nil="true"/>
    <DocPublversion xmlns="084a5cd8-1559-4e94-ac72-b94fb9abc19e" xsi:nil="true"/>
    <DocInternalExternal xmlns="084a5cd8-1559-4e94-ac72-b94fb9abc19e">Internal &amp; external</DocInternalExternal>
    <ProgrCategory xmlns="084a5cd8-1559-4e94-ac72-b94fb9abc19e">1. MGAs</ProgrCategory>
    <ProgrGroup xmlns="084a5cd8-1559-4e94-ac72-b94fb9abc19e">01 HORIZON and EURATOM</ProgrGroup>
    <DocStatus xmlns="084a5cd8-1559-4e94-ac72-b94fb9abc19e">Ready</DocStatus>
    <DocPublDestination xmlns="084a5cd8-1559-4e94-ac72-b94fb9abc19e" xsi:nil="true"/>
    <DocPublProtocol xmlns="084a5cd8-1559-4e94-ac72-b94fb9abc19e">MGA2-1 MGAs</DocPublProtocol>
    <DocOfficerComments xmlns="084a5cd8-1559-4e94-ac72-b94fb9abc19e" xsi:nil="true"/>
    <DocPublDate xmlns="084a5cd8-1559-4e94-ac72-b94fb9abc19e" xsi:nil="true"/>
    <ITcomments xmlns="084a5cd8-1559-4e94-ac72-b94fb9abc19e" xsi:nil="true"/>
    <ITstatus xmlns="084a5cd8-1559-4e94-ac72-b94fb9abc19e" xsi:nil="true"/>
    <s86b xmlns="58f75e61-ed07-41d3-a804-02f248e1fac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522015-9302-4F20-B050-61DD56F9A0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4a5cd8-1559-4e94-ac72-b94fb9abc19e"/>
    <ds:schemaRef ds:uri="58f75e61-ed07-41d3-a804-02f248e1fa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B353A9-2989-445E-ABE9-1CEDF6033744}">
  <ds:schemaRefs>
    <ds:schemaRef ds:uri="http://www.w3.org/XML/1998/namespace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084a5cd8-1559-4e94-ac72-b94fb9abc19e"/>
    <ds:schemaRef ds:uri="http://schemas.microsoft.com/office/2006/documentManagement/types"/>
    <ds:schemaRef ds:uri="http://schemas.openxmlformats.org/package/2006/metadata/core-properties"/>
    <ds:schemaRef ds:uri="58f75e61-ed07-41d3-a804-02f248e1fac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D86633D-820E-4F14-89B7-91D641720B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1- EU Base Rates</vt:lpstr>
      <vt:lpstr>2 - National Top-up Rates</vt:lpstr>
      <vt:lpstr>3 - Funding Rate per Particpant</vt:lpstr>
      <vt:lpstr>4 - Max Amount per RP</vt:lpstr>
      <vt:lpstr>4 - Country List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PAUNOVIC Ogren (RTD)</dc:creator>
  <cp:lastModifiedBy>CONTE Bettina (BUDG)</cp:lastModifiedBy>
  <dcterms:created xsi:type="dcterms:W3CDTF">2021-10-18T15:20:32Z</dcterms:created>
  <dcterms:modified xsi:type="dcterms:W3CDTF">2024-07-02T20:57:05Z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0x010100258AA79CEB83498886A3A086811232500015D68561EDF2314DA91E1210E4D82B5C</vt:lpwstr>
  </property>
  <property fmtid="{D5CDD505-2E9C-101B-9397-08002B2CF9AE}" pid="3" name="MSIP_Label_6bd9ddd1-4d20-43f6-abfa-fc3c07406f94_Enabled">
    <vt:lpwstr>true</vt:lpwstr>
  </property>
  <property fmtid="{D5CDD505-2E9C-101B-9397-08002B2CF9AE}" pid="4" name="MSIP_Label_6bd9ddd1-4d20-43f6-abfa-fc3c07406f94_SetDate">
    <vt:lpwstr>2024-07-02T13:00:19Z</vt:lpwstr>
  </property>
  <property fmtid="{D5CDD505-2E9C-101B-9397-08002B2CF9AE}" pid="5" name="MSIP_Label_6bd9ddd1-4d20-43f6-abfa-fc3c07406f94_Method">
    <vt:lpwstr>Standard</vt:lpwstr>
  </property>
  <property fmtid="{D5CDD505-2E9C-101B-9397-08002B2CF9AE}" pid="6" name="MSIP_Label_6bd9ddd1-4d20-43f6-abfa-fc3c07406f94_Name">
    <vt:lpwstr>Commission Use</vt:lpwstr>
  </property>
  <property fmtid="{D5CDD505-2E9C-101B-9397-08002B2CF9AE}" pid="7" name="MSIP_Label_6bd9ddd1-4d20-43f6-abfa-fc3c07406f94_SiteId">
    <vt:lpwstr>b24c8b06-522c-46fe-9080-70926f8dddb1</vt:lpwstr>
  </property>
  <property fmtid="{D5CDD505-2E9C-101B-9397-08002B2CF9AE}" pid="8" name="MSIP_Label_6bd9ddd1-4d20-43f6-abfa-fc3c07406f94_ActionId">
    <vt:lpwstr>b778a726-a367-491f-bdb6-5102293bd8d6</vt:lpwstr>
  </property>
  <property fmtid="{D5CDD505-2E9C-101B-9397-08002B2CF9AE}" pid="9" name="MSIP_Label_6bd9ddd1-4d20-43f6-abfa-fc3c07406f94_ContentBits">
    <vt:lpwstr>0</vt:lpwstr>
  </property>
</Properties>
</file>